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8\Downloads\"/>
    </mc:Choice>
  </mc:AlternateContent>
  <xr:revisionPtr revIDLastSave="0" documentId="13_ncr:1_{9701F6D8-DA52-4972-A0F1-AEA0C3FFC9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hly data" sheetId="1" r:id="rId1"/>
    <sheet name="Pivot Table 1" sheetId="2" r:id="rId2"/>
    <sheet name="category summary" sheetId="3" r:id="rId3"/>
    <sheet name="Category Targets" sheetId="4" r:id="rId4"/>
  </sheets>
  <definedNames>
    <definedName name="category">#REF!</definedName>
  </definedName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E7" i="3" l="1"/>
  <c r="D7" i="3"/>
  <c r="E6" i="3"/>
  <c r="D6" i="3"/>
  <c r="E5" i="3"/>
  <c r="D5" i="3"/>
  <c r="E4" i="3"/>
  <c r="D4" i="3"/>
  <c r="E3" i="3"/>
  <c r="D3" i="3"/>
  <c r="E2" i="3"/>
  <c r="D2" i="3"/>
</calcChain>
</file>

<file path=xl/sharedStrings.xml><?xml version="1.0" encoding="utf-8"?>
<sst xmlns="http://schemas.openxmlformats.org/spreadsheetml/2006/main" count="78" uniqueCount="29">
  <si>
    <t>category</t>
  </si>
  <si>
    <t>month</t>
  </si>
  <si>
    <t>target-revenue-inr</t>
  </si>
  <si>
    <t>order_count</t>
  </si>
  <si>
    <t>total_revenue</t>
  </si>
  <si>
    <t>avg_revenue</t>
  </si>
  <si>
    <t xml:space="preserve">Fruits&amp;vegetable </t>
  </si>
  <si>
    <t>Total-revenue |</t>
  </si>
  <si>
    <t>Bakery</t>
  </si>
  <si>
    <t>target-revenue |</t>
  </si>
  <si>
    <t>Dairy&amp;eggs</t>
  </si>
  <si>
    <t>Snacks&amp;Beverages</t>
  </si>
  <si>
    <t>variance |</t>
  </si>
  <si>
    <t>percentage-variance|</t>
  </si>
  <si>
    <t>Personal care</t>
  </si>
  <si>
    <t>Matches Part 1 SQL total?|</t>
  </si>
  <si>
    <t>Household Essential</t>
  </si>
  <si>
    <t>Household Essentials</t>
  </si>
  <si>
    <t>Dairy &amp; Eggs</t>
  </si>
  <si>
    <t>Fruits &amp; Vegetables</t>
  </si>
  <si>
    <t>Personal Care</t>
  </si>
  <si>
    <t>Snacks &amp; Beverages</t>
  </si>
  <si>
    <t>YES</t>
  </si>
  <si>
    <t>Snacks&amp; Beverages</t>
  </si>
  <si>
    <t>Fruits&amp;Vegetables</t>
  </si>
  <si>
    <t>SUM of total_revenue</t>
  </si>
  <si>
    <t>SUM of order_count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</si>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</sst>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shvardhan Singh Thakur" refreshedDate="46282.0919818287" refreshedVersion="8" recordCount="36" xr:uid="{00000000-000A-0000-FFFF-FFFF00000000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NonDate="0" containsDate="1" containsString="0" minDate="2026-01-01T00:00:00" maxDate="2026-06-02T00:00:00"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d v="2026-01-01T00:00:00"/>
    <n v="6"/>
    <n v="735"/>
    <n v="122.5"/>
  </r>
  <r>
    <x v="0"/>
    <d v="2026-02-01T00:00:00"/>
    <n v="8"/>
    <n v="2440"/>
    <n v="305"/>
  </r>
  <r>
    <x v="0"/>
    <d v="2026-03-01T00:00:00"/>
    <n v="11"/>
    <n v="3090"/>
    <n v="280.90909090000002"/>
  </r>
  <r>
    <x v="0"/>
    <d v="2026-04-01T00:00:00"/>
    <n v="13"/>
    <n v="3115"/>
    <n v="239.6153846"/>
  </r>
  <r>
    <x v="0"/>
    <d v="2026-05-01T00:00:00"/>
    <n v="15"/>
    <n v="3695"/>
    <n v="246.33333329999999"/>
  </r>
  <r>
    <x v="0"/>
    <d v="2026-06-01T00:00:00"/>
    <n v="14"/>
    <n v="2335"/>
    <n v="166.7857143"/>
  </r>
  <r>
    <x v="1"/>
    <d v="2026-01-01T00:00:00"/>
    <n v="9"/>
    <n v="2035"/>
    <n v="226.11111109999999"/>
  </r>
  <r>
    <x v="1"/>
    <d v="2026-02-01T00:00:00"/>
    <n v="8"/>
    <n v="1935"/>
    <n v="241.875"/>
  </r>
  <r>
    <x v="1"/>
    <d v="2026-03-01T00:00:00"/>
    <n v="15"/>
    <n v="3163"/>
    <n v="210.8666667"/>
  </r>
  <r>
    <x v="1"/>
    <d v="2026-04-01T00:00:00"/>
    <n v="9"/>
    <n v="1650"/>
    <n v="183.33333329999999"/>
  </r>
  <r>
    <x v="1"/>
    <d v="2026-05-01T00:00:00"/>
    <n v="14"/>
    <n v="3479"/>
    <n v="248.5"/>
  </r>
  <r>
    <x v="1"/>
    <d v="2026-06-01T00:00:00"/>
    <n v="11"/>
    <n v="1828"/>
    <n v="166.18181820000001"/>
  </r>
  <r>
    <x v="2"/>
    <d v="2026-01-01T00:00:00"/>
    <n v="12"/>
    <n v="1290"/>
    <n v="107.5"/>
  </r>
  <r>
    <x v="2"/>
    <d v="2026-02-01T00:00:00"/>
    <n v="13"/>
    <n v="2090"/>
    <n v="160.7692308"/>
  </r>
  <r>
    <x v="2"/>
    <d v="2026-03-01T00:00:00"/>
    <n v="13"/>
    <n v="2080"/>
    <n v="160"/>
  </r>
  <r>
    <x v="2"/>
    <d v="2026-04-01T00:00:00"/>
    <n v="14"/>
    <n v="1400"/>
    <n v="100"/>
  </r>
  <r>
    <x v="2"/>
    <d v="2026-05-01T00:00:00"/>
    <n v="12"/>
    <n v="1870"/>
    <n v="155.83333329999999"/>
  </r>
  <r>
    <x v="2"/>
    <d v="2026-06-01T00:00:00"/>
    <n v="9"/>
    <n v="1060"/>
    <n v="117.7777778"/>
  </r>
  <r>
    <x v="3"/>
    <d v="2026-01-01T00:00:00"/>
    <n v="10"/>
    <n v="2099"/>
    <n v="209.9"/>
  </r>
  <r>
    <x v="3"/>
    <d v="2026-02-01T00:00:00"/>
    <n v="16"/>
    <n v="5113"/>
    <n v="319.5625"/>
  </r>
  <r>
    <x v="3"/>
    <d v="2026-03-01T00:00:00"/>
    <n v="8"/>
    <n v="1885"/>
    <n v="235.625"/>
  </r>
  <r>
    <x v="3"/>
    <d v="2026-04-01T00:00:00"/>
    <n v="17"/>
    <n v="5491"/>
    <n v="323"/>
  </r>
  <r>
    <x v="3"/>
    <d v="2026-05-01T00:00:00"/>
    <n v="16"/>
    <n v="3477"/>
    <n v="217.3125"/>
  </r>
  <r>
    <x v="3"/>
    <d v="2026-06-01T00:00:00"/>
    <n v="12"/>
    <n v="3650"/>
    <n v="304.16666670000001"/>
  </r>
  <r>
    <x v="4"/>
    <d v="2026-01-01T00:00:00"/>
    <n v="12"/>
    <n v="3608"/>
    <n v="300.66666670000001"/>
  </r>
  <r>
    <x v="4"/>
    <d v="2026-02-01T00:00:00"/>
    <n v="8"/>
    <n v="2177"/>
    <n v="272.125"/>
  </r>
  <r>
    <x v="4"/>
    <d v="2026-03-01T00:00:00"/>
    <n v="11"/>
    <n v="2807"/>
    <n v="255.18181820000001"/>
  </r>
  <r>
    <x v="4"/>
    <d v="2026-04-01T00:00:00"/>
    <n v="9"/>
    <n v="1970"/>
    <n v="218.88888890000001"/>
  </r>
  <r>
    <x v="4"/>
    <d v="2026-05-01T00:00:00"/>
    <n v="13"/>
    <n v="3045"/>
    <n v="234.2307692"/>
  </r>
  <r>
    <x v="4"/>
    <d v="2026-06-01T00:00:00"/>
    <n v="13"/>
    <n v="2775"/>
    <n v="213.46153849999999"/>
  </r>
  <r>
    <x v="5"/>
    <d v="2026-01-01T00:00:00"/>
    <n v="10"/>
    <n v="1290"/>
    <n v="129"/>
  </r>
  <r>
    <x v="5"/>
    <d v="2026-02-01T00:00:00"/>
    <n v="11"/>
    <n v="1330"/>
    <n v="120.9090909"/>
  </r>
  <r>
    <x v="5"/>
    <d v="2026-03-01T00:00:00"/>
    <n v="15"/>
    <n v="1670"/>
    <n v="111.33333330000001"/>
  </r>
  <r>
    <x v="5"/>
    <d v="2026-04-01T00:00:00"/>
    <n v="19"/>
    <n v="2980"/>
    <n v="156.84210529999999"/>
  </r>
  <r>
    <x v="5"/>
    <d v="2026-05-01T00:00:00"/>
    <n v="13"/>
    <n v="1665"/>
    <n v="128.07692309999999"/>
  </r>
  <r>
    <x v="5"/>
    <d v="2026-06-01T00:00:00"/>
    <n v="15"/>
    <n v="1960"/>
    <n v="130.6666667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4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5">
    <pivotField name="category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/>
    <pivotField name="order_count" dataField="1" compact="0" outline="0" multipleItemSelectionAllowed="1" showAll="0"/>
    <pivotField name="total_revenue" dataField="1" compact="0" outline="0" multipleItemSelectionAllowed="1" showAll="0"/>
    <pivotField name="avg_revenue" compact="0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/>
    <dataField name="SUM of order_c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s="1" t="s">
        <v>8</v>
      </c>
      <c r="B2" s="2">
        <v>46023</v>
      </c>
      <c r="C2" s="1">
        <v>6</v>
      </c>
      <c r="D2" s="1">
        <v>735</v>
      </c>
      <c r="E2" s="1">
        <v>122.5</v>
      </c>
    </row>
    <row r="3" spans="1:5" x14ac:dyDescent="0.25">
      <c r="A3" s="1" t="s">
        <v>8</v>
      </c>
      <c r="B3" s="2">
        <v>46054</v>
      </c>
      <c r="C3" s="1">
        <v>8</v>
      </c>
      <c r="D3" s="1">
        <v>2440</v>
      </c>
      <c r="E3" s="1">
        <v>305</v>
      </c>
    </row>
    <row r="4" spans="1:5" x14ac:dyDescent="0.25">
      <c r="A4" s="1" t="s">
        <v>8</v>
      </c>
      <c r="B4" s="2">
        <v>46082</v>
      </c>
      <c r="C4" s="1">
        <v>11</v>
      </c>
      <c r="D4" s="1">
        <v>3090</v>
      </c>
      <c r="E4" s="1">
        <v>280.90909090000002</v>
      </c>
    </row>
    <row r="5" spans="1:5" x14ac:dyDescent="0.25">
      <c r="A5" s="1" t="s">
        <v>8</v>
      </c>
      <c r="B5" s="2">
        <v>46113</v>
      </c>
      <c r="C5" s="1">
        <v>13</v>
      </c>
      <c r="D5" s="1">
        <v>3115</v>
      </c>
      <c r="E5" s="1">
        <v>239.6153846</v>
      </c>
    </row>
    <row r="6" spans="1:5" x14ac:dyDescent="0.25">
      <c r="A6" s="1" t="s">
        <v>8</v>
      </c>
      <c r="B6" s="2">
        <v>46143</v>
      </c>
      <c r="C6" s="1">
        <v>15</v>
      </c>
      <c r="D6" s="1">
        <v>3695</v>
      </c>
      <c r="E6" s="1">
        <v>246.33333329999999</v>
      </c>
    </row>
    <row r="7" spans="1:5" x14ac:dyDescent="0.25">
      <c r="A7" s="1" t="s">
        <v>8</v>
      </c>
      <c r="B7" s="2">
        <v>46174</v>
      </c>
      <c r="C7" s="1">
        <v>14</v>
      </c>
      <c r="D7" s="1">
        <v>2335</v>
      </c>
      <c r="E7" s="1">
        <v>166.7857143</v>
      </c>
    </row>
    <row r="8" spans="1:5" x14ac:dyDescent="0.25">
      <c r="A8" s="1" t="s">
        <v>18</v>
      </c>
      <c r="B8" s="2">
        <v>46023</v>
      </c>
      <c r="C8" s="1">
        <v>9</v>
      </c>
      <c r="D8" s="1">
        <v>2035</v>
      </c>
      <c r="E8" s="1">
        <v>226.11111109999999</v>
      </c>
    </row>
    <row r="9" spans="1:5" x14ac:dyDescent="0.25">
      <c r="A9" s="1" t="s">
        <v>18</v>
      </c>
      <c r="B9" s="2">
        <v>46054</v>
      </c>
      <c r="C9" s="1">
        <v>8</v>
      </c>
      <c r="D9" s="1">
        <v>1935</v>
      </c>
      <c r="E9" s="1">
        <v>241.875</v>
      </c>
    </row>
    <row r="10" spans="1:5" x14ac:dyDescent="0.25">
      <c r="A10" s="1" t="s">
        <v>18</v>
      </c>
      <c r="B10" s="2">
        <v>46082</v>
      </c>
      <c r="C10" s="1">
        <v>15</v>
      </c>
      <c r="D10" s="1">
        <v>3163</v>
      </c>
      <c r="E10" s="1">
        <v>210.8666667</v>
      </c>
    </row>
    <row r="11" spans="1:5" x14ac:dyDescent="0.25">
      <c r="A11" s="1" t="s">
        <v>18</v>
      </c>
      <c r="B11" s="2">
        <v>46113</v>
      </c>
      <c r="C11" s="1">
        <v>9</v>
      </c>
      <c r="D11" s="1">
        <v>1650</v>
      </c>
      <c r="E11" s="1">
        <v>183.33333329999999</v>
      </c>
    </row>
    <row r="12" spans="1:5" x14ac:dyDescent="0.25">
      <c r="A12" s="1" t="s">
        <v>18</v>
      </c>
      <c r="B12" s="2">
        <v>46143</v>
      </c>
      <c r="C12" s="1">
        <v>14</v>
      </c>
      <c r="D12" s="1">
        <v>3479</v>
      </c>
      <c r="E12" s="1">
        <v>248.5</v>
      </c>
    </row>
    <row r="13" spans="1:5" x14ac:dyDescent="0.25">
      <c r="A13" s="1" t="s">
        <v>18</v>
      </c>
      <c r="B13" s="2">
        <v>46174</v>
      </c>
      <c r="C13" s="1">
        <v>11</v>
      </c>
      <c r="D13" s="1">
        <v>1828</v>
      </c>
      <c r="E13" s="1">
        <v>166.18181820000001</v>
      </c>
    </row>
    <row r="14" spans="1:5" x14ac:dyDescent="0.25">
      <c r="A14" s="1" t="s">
        <v>19</v>
      </c>
      <c r="B14" s="2">
        <v>46023</v>
      </c>
      <c r="C14" s="1">
        <v>12</v>
      </c>
      <c r="D14" s="1">
        <v>1290</v>
      </c>
      <c r="E14" s="1">
        <v>107.5</v>
      </c>
    </row>
    <row r="15" spans="1:5" x14ac:dyDescent="0.25">
      <c r="A15" s="1" t="s">
        <v>19</v>
      </c>
      <c r="B15" s="2">
        <v>46054</v>
      </c>
      <c r="C15" s="1">
        <v>13</v>
      </c>
      <c r="D15" s="1">
        <v>2090</v>
      </c>
      <c r="E15" s="1">
        <v>160.7692308</v>
      </c>
    </row>
    <row r="16" spans="1:5" x14ac:dyDescent="0.25">
      <c r="A16" s="1" t="s">
        <v>19</v>
      </c>
      <c r="B16" s="2">
        <v>46082</v>
      </c>
      <c r="C16" s="1">
        <v>13</v>
      </c>
      <c r="D16" s="1">
        <v>2080</v>
      </c>
      <c r="E16" s="1">
        <v>160</v>
      </c>
    </row>
    <row r="17" spans="1:5" x14ac:dyDescent="0.25">
      <c r="A17" s="1" t="s">
        <v>19</v>
      </c>
      <c r="B17" s="2">
        <v>46113</v>
      </c>
      <c r="C17" s="1">
        <v>14</v>
      </c>
      <c r="D17" s="1">
        <v>1400</v>
      </c>
      <c r="E17" s="1">
        <v>100</v>
      </c>
    </row>
    <row r="18" spans="1:5" x14ac:dyDescent="0.25">
      <c r="A18" s="1" t="s">
        <v>19</v>
      </c>
      <c r="B18" s="2">
        <v>46143</v>
      </c>
      <c r="C18" s="1">
        <v>12</v>
      </c>
      <c r="D18" s="1">
        <v>1870</v>
      </c>
      <c r="E18" s="1">
        <v>155.83333329999999</v>
      </c>
    </row>
    <row r="19" spans="1:5" x14ac:dyDescent="0.25">
      <c r="A19" s="1" t="s">
        <v>19</v>
      </c>
      <c r="B19" s="2">
        <v>46174</v>
      </c>
      <c r="C19" s="1">
        <v>9</v>
      </c>
      <c r="D19" s="1">
        <v>1060</v>
      </c>
      <c r="E19" s="1">
        <v>117.7777778</v>
      </c>
    </row>
    <row r="20" spans="1:5" x14ac:dyDescent="0.25">
      <c r="A20" s="1" t="s">
        <v>17</v>
      </c>
      <c r="B20" s="2">
        <v>46023</v>
      </c>
      <c r="C20" s="1">
        <v>10</v>
      </c>
      <c r="D20" s="1">
        <v>2099</v>
      </c>
      <c r="E20" s="1">
        <v>209.9</v>
      </c>
    </row>
    <row r="21" spans="1:5" x14ac:dyDescent="0.25">
      <c r="A21" s="1" t="s">
        <v>17</v>
      </c>
      <c r="B21" s="2">
        <v>46054</v>
      </c>
      <c r="C21" s="1">
        <v>16</v>
      </c>
      <c r="D21" s="1">
        <v>5113</v>
      </c>
      <c r="E21" s="1">
        <v>319.5625</v>
      </c>
    </row>
    <row r="22" spans="1:5" x14ac:dyDescent="0.25">
      <c r="A22" s="1" t="s">
        <v>17</v>
      </c>
      <c r="B22" s="2">
        <v>46082</v>
      </c>
      <c r="C22" s="1">
        <v>8</v>
      </c>
      <c r="D22" s="1">
        <v>1885</v>
      </c>
      <c r="E22" s="1">
        <v>235.625</v>
      </c>
    </row>
    <row r="23" spans="1:5" x14ac:dyDescent="0.25">
      <c r="A23" s="1" t="s">
        <v>17</v>
      </c>
      <c r="B23" s="2">
        <v>46113</v>
      </c>
      <c r="C23" s="1">
        <v>17</v>
      </c>
      <c r="D23" s="1">
        <v>5491</v>
      </c>
      <c r="E23" s="1">
        <v>323</v>
      </c>
    </row>
    <row r="24" spans="1:5" x14ac:dyDescent="0.25">
      <c r="A24" s="1" t="s">
        <v>17</v>
      </c>
      <c r="B24" s="2">
        <v>46143</v>
      </c>
      <c r="C24" s="1">
        <v>16</v>
      </c>
      <c r="D24" s="1">
        <v>3477</v>
      </c>
      <c r="E24" s="1">
        <v>217.3125</v>
      </c>
    </row>
    <row r="25" spans="1:5" x14ac:dyDescent="0.25">
      <c r="A25" s="1" t="s">
        <v>17</v>
      </c>
      <c r="B25" s="2">
        <v>46174</v>
      </c>
      <c r="C25" s="1">
        <v>12</v>
      </c>
      <c r="D25" s="1">
        <v>3650</v>
      </c>
      <c r="E25" s="1">
        <v>304.16666670000001</v>
      </c>
    </row>
    <row r="26" spans="1:5" x14ac:dyDescent="0.25">
      <c r="A26" s="1" t="s">
        <v>20</v>
      </c>
      <c r="B26" s="2">
        <v>46023</v>
      </c>
      <c r="C26" s="1">
        <v>12</v>
      </c>
      <c r="D26" s="1">
        <v>3608</v>
      </c>
      <c r="E26" s="1">
        <v>300.66666670000001</v>
      </c>
    </row>
    <row r="27" spans="1:5" x14ac:dyDescent="0.25">
      <c r="A27" s="1" t="s">
        <v>20</v>
      </c>
      <c r="B27" s="2">
        <v>46054</v>
      </c>
      <c r="C27" s="1">
        <v>8</v>
      </c>
      <c r="D27" s="1">
        <v>2177</v>
      </c>
      <c r="E27" s="1">
        <v>272.125</v>
      </c>
    </row>
    <row r="28" spans="1:5" x14ac:dyDescent="0.25">
      <c r="A28" s="1" t="s">
        <v>20</v>
      </c>
      <c r="B28" s="2">
        <v>46082</v>
      </c>
      <c r="C28" s="1">
        <v>11</v>
      </c>
      <c r="D28" s="1">
        <v>2807</v>
      </c>
      <c r="E28" s="1">
        <v>255.18181820000001</v>
      </c>
    </row>
    <row r="29" spans="1:5" x14ac:dyDescent="0.25">
      <c r="A29" s="1" t="s">
        <v>20</v>
      </c>
      <c r="B29" s="2">
        <v>46113</v>
      </c>
      <c r="C29" s="1">
        <v>9</v>
      </c>
      <c r="D29" s="1">
        <v>1970</v>
      </c>
      <c r="E29" s="1">
        <v>218.88888890000001</v>
      </c>
    </row>
    <row r="30" spans="1:5" x14ac:dyDescent="0.25">
      <c r="A30" s="1" t="s">
        <v>20</v>
      </c>
      <c r="B30" s="2">
        <v>46143</v>
      </c>
      <c r="C30" s="1">
        <v>13</v>
      </c>
      <c r="D30" s="1">
        <v>3045</v>
      </c>
      <c r="E30" s="1">
        <v>234.2307692</v>
      </c>
    </row>
    <row r="31" spans="1:5" x14ac:dyDescent="0.25">
      <c r="A31" s="1" t="s">
        <v>20</v>
      </c>
      <c r="B31" s="2">
        <v>46174</v>
      </c>
      <c r="C31" s="1">
        <v>13</v>
      </c>
      <c r="D31" s="1">
        <v>2775</v>
      </c>
      <c r="E31" s="1">
        <v>213.46153849999999</v>
      </c>
    </row>
    <row r="32" spans="1:5" x14ac:dyDescent="0.25">
      <c r="A32" s="1" t="s">
        <v>21</v>
      </c>
      <c r="B32" s="2">
        <v>46023</v>
      </c>
      <c r="C32" s="1">
        <v>10</v>
      </c>
      <c r="D32" s="1">
        <v>1290</v>
      </c>
      <c r="E32" s="1">
        <v>129</v>
      </c>
    </row>
    <row r="33" spans="1:5" x14ac:dyDescent="0.25">
      <c r="A33" s="1" t="s">
        <v>21</v>
      </c>
      <c r="B33" s="2">
        <v>46054</v>
      </c>
      <c r="C33" s="1">
        <v>11</v>
      </c>
      <c r="D33" s="1">
        <v>1330</v>
      </c>
      <c r="E33" s="1">
        <v>120.9090909</v>
      </c>
    </row>
    <row r="34" spans="1:5" x14ac:dyDescent="0.25">
      <c r="A34" s="1" t="s">
        <v>21</v>
      </c>
      <c r="B34" s="2">
        <v>46082</v>
      </c>
      <c r="C34" s="1">
        <v>15</v>
      </c>
      <c r="D34" s="1">
        <v>1670</v>
      </c>
      <c r="E34" s="1">
        <v>111.33333330000001</v>
      </c>
    </row>
    <row r="35" spans="1:5" x14ac:dyDescent="0.25">
      <c r="A35" s="1" t="s">
        <v>21</v>
      </c>
      <c r="B35" s="2">
        <v>46113</v>
      </c>
      <c r="C35" s="1">
        <v>19</v>
      </c>
      <c r="D35" s="1">
        <v>2980</v>
      </c>
      <c r="E35" s="1">
        <v>156.84210529999999</v>
      </c>
    </row>
    <row r="36" spans="1:5" x14ac:dyDescent="0.25">
      <c r="A36" s="1" t="s">
        <v>21</v>
      </c>
      <c r="B36" s="2">
        <v>46143</v>
      </c>
      <c r="C36" s="1">
        <v>13</v>
      </c>
      <c r="D36" s="1">
        <v>1665</v>
      </c>
      <c r="E36" s="1">
        <v>128.07692309999999</v>
      </c>
    </row>
    <row r="37" spans="1:5" x14ac:dyDescent="0.25">
      <c r="A37" s="1" t="s">
        <v>21</v>
      </c>
      <c r="B37" s="2">
        <v>46174</v>
      </c>
      <c r="C37" s="1">
        <v>15</v>
      </c>
      <c r="D37" s="1">
        <v>1960</v>
      </c>
      <c r="E37" s="1">
        <v>130.66666670000001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showGridLines="0" workbookViewId="0"/>
  </sheetViews>
  <sheetFormatPr defaultColWidth="12.6640625" defaultRowHeight="15.75" customHeight="1" x14ac:dyDescent="0.25"/>
  <sheetData>
    <row r="1" spans="1:3" ht="13.2" x14ac:dyDescent="0.25">
      <c r="A1" s="4"/>
      <c r="B1" s="5" t="s">
        <v>28</v>
      </c>
      <c r="C1" s="6"/>
    </row>
    <row r="2" spans="1:3" ht="13.2" x14ac:dyDescent="0.25">
      <c r="A2" s="5" t="s">
        <v>0</v>
      </c>
      <c r="B2" s="4" t="s">
        <v>25</v>
      </c>
      <c r="C2" s="7" t="s">
        <v>26</v>
      </c>
    </row>
    <row r="3" spans="1:3" ht="13.2" x14ac:dyDescent="0.25">
      <c r="A3" s="4" t="s">
        <v>8</v>
      </c>
      <c r="B3" s="10">
        <v>15410</v>
      </c>
      <c r="C3" s="11">
        <v>67</v>
      </c>
    </row>
    <row r="4" spans="1:3" ht="13.2" x14ac:dyDescent="0.25">
      <c r="A4" s="8" t="s">
        <v>18</v>
      </c>
      <c r="B4" s="12">
        <v>14090</v>
      </c>
      <c r="C4" s="13">
        <v>66</v>
      </c>
    </row>
    <row r="5" spans="1:3" ht="13.2" x14ac:dyDescent="0.25">
      <c r="A5" s="8" t="s">
        <v>19</v>
      </c>
      <c r="B5" s="12">
        <v>9790</v>
      </c>
      <c r="C5" s="13">
        <v>73</v>
      </c>
    </row>
    <row r="6" spans="1:3" ht="13.2" x14ac:dyDescent="0.25">
      <c r="A6" s="8" t="s">
        <v>17</v>
      </c>
      <c r="B6" s="12">
        <v>21715</v>
      </c>
      <c r="C6" s="13">
        <v>79</v>
      </c>
    </row>
    <row r="7" spans="1:3" ht="13.2" x14ac:dyDescent="0.25">
      <c r="A7" s="8" t="s">
        <v>20</v>
      </c>
      <c r="B7" s="12">
        <v>16382</v>
      </c>
      <c r="C7" s="13">
        <v>66</v>
      </c>
    </row>
    <row r="8" spans="1:3" ht="13.2" x14ac:dyDescent="0.25">
      <c r="A8" s="8" t="s">
        <v>21</v>
      </c>
      <c r="B8" s="12">
        <v>10895</v>
      </c>
      <c r="C8" s="13">
        <v>83</v>
      </c>
    </row>
    <row r="9" spans="1:3" ht="15.75" customHeight="1" x14ac:dyDescent="0.25">
      <c r="A9" s="9" t="s">
        <v>27</v>
      </c>
      <c r="B9" s="14">
        <v>88282</v>
      </c>
      <c r="C9" s="15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"/>
  <sheetViews>
    <sheetView tabSelected="1"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7</v>
      </c>
      <c r="C1" s="1" t="s">
        <v>9</v>
      </c>
      <c r="D1" s="1" t="s">
        <v>12</v>
      </c>
      <c r="E1" s="1" t="s">
        <v>13</v>
      </c>
      <c r="G1" s="1" t="s">
        <v>15</v>
      </c>
    </row>
    <row r="2" spans="1:7" x14ac:dyDescent="0.25">
      <c r="A2" s="1" t="s">
        <v>16</v>
      </c>
      <c r="B2" s="1">
        <v>9790</v>
      </c>
      <c r="C2" s="1">
        <v>12000</v>
      </c>
      <c r="D2" s="1">
        <f t="shared" ref="D2:D7" si="0">B2-C2</f>
        <v>-2210</v>
      </c>
      <c r="E2" s="3">
        <f t="shared" ref="E2:E7" si="1">(B2-C2)/C2</f>
        <v>-0.18416666666666667</v>
      </c>
      <c r="G2" s="1" t="s">
        <v>22</v>
      </c>
    </row>
    <row r="3" spans="1:7" x14ac:dyDescent="0.25">
      <c r="A3" s="1" t="s">
        <v>14</v>
      </c>
      <c r="B3" s="1">
        <v>14090</v>
      </c>
      <c r="C3" s="1">
        <v>16500</v>
      </c>
      <c r="D3" s="1">
        <f t="shared" si="0"/>
        <v>-2410</v>
      </c>
      <c r="E3" s="3">
        <f t="shared" si="1"/>
        <v>-0.14606060606060606</v>
      </c>
      <c r="G3" s="1" t="s">
        <v>22</v>
      </c>
    </row>
    <row r="4" spans="1:7" x14ac:dyDescent="0.25">
      <c r="A4" s="1" t="s">
        <v>8</v>
      </c>
      <c r="B4" s="1">
        <v>10895</v>
      </c>
      <c r="C4" s="1">
        <v>13000</v>
      </c>
      <c r="D4" s="1">
        <f t="shared" si="0"/>
        <v>-2105</v>
      </c>
      <c r="E4" s="3">
        <f t="shared" si="1"/>
        <v>-0.16192307692307692</v>
      </c>
      <c r="G4" s="1" t="s">
        <v>22</v>
      </c>
    </row>
    <row r="5" spans="1:7" x14ac:dyDescent="0.25">
      <c r="A5" s="1" t="s">
        <v>18</v>
      </c>
      <c r="B5" s="1">
        <v>16382</v>
      </c>
      <c r="C5" s="1">
        <v>15500</v>
      </c>
      <c r="D5" s="1">
        <f t="shared" si="0"/>
        <v>882</v>
      </c>
      <c r="E5" s="3">
        <f t="shared" si="1"/>
        <v>5.6903225806451616E-2</v>
      </c>
      <c r="G5" s="1" t="s">
        <v>22</v>
      </c>
    </row>
    <row r="6" spans="1:7" x14ac:dyDescent="0.25">
      <c r="A6" s="1" t="s">
        <v>23</v>
      </c>
      <c r="B6" s="1">
        <v>21715</v>
      </c>
      <c r="C6" s="1">
        <v>17000</v>
      </c>
      <c r="D6" s="1">
        <f t="shared" si="0"/>
        <v>4715</v>
      </c>
      <c r="E6" s="3">
        <f t="shared" si="1"/>
        <v>0.27735294117647058</v>
      </c>
      <c r="G6" s="1" t="s">
        <v>22</v>
      </c>
    </row>
    <row r="7" spans="1:7" x14ac:dyDescent="0.25">
      <c r="A7" s="1" t="s">
        <v>24</v>
      </c>
      <c r="B7" s="1">
        <v>15410</v>
      </c>
      <c r="C7" s="1">
        <v>12000</v>
      </c>
      <c r="D7" s="1">
        <f t="shared" si="0"/>
        <v>3410</v>
      </c>
      <c r="E7" s="3">
        <f t="shared" si="1"/>
        <v>0.28416666666666668</v>
      </c>
      <c r="G7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6</v>
      </c>
      <c r="B2" s="1">
        <v>12000</v>
      </c>
    </row>
    <row r="3" spans="1:2" x14ac:dyDescent="0.25">
      <c r="A3" s="1" t="s">
        <v>10</v>
      </c>
      <c r="B3" s="1">
        <v>16500</v>
      </c>
    </row>
    <row r="4" spans="1:2" x14ac:dyDescent="0.25">
      <c r="A4" s="1" t="s">
        <v>11</v>
      </c>
      <c r="B4" s="1">
        <v>13000</v>
      </c>
    </row>
    <row r="5" spans="1:2" x14ac:dyDescent="0.25">
      <c r="A5" s="1" t="s">
        <v>14</v>
      </c>
      <c r="B5" s="1">
        <v>15500</v>
      </c>
    </row>
    <row r="6" spans="1:2" x14ac:dyDescent="0.25">
      <c r="A6" s="1" t="s">
        <v>17</v>
      </c>
      <c r="B6" s="1">
        <v>17000</v>
      </c>
    </row>
    <row r="7" spans="1:2" x14ac:dyDescent="0.25">
      <c r="A7" s="1" t="s">
        <v>8</v>
      </c>
      <c r="B7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Pivot Table 1</vt:lpstr>
      <vt:lpstr>category summary</vt:lpstr>
      <vt:lpstr>Category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anmolshrivastava0102@gmail.com</cp:lastModifiedBy>
  <dcterms:modified xsi:type="dcterms:W3CDTF">2026-09-16T20:43:05Z</dcterms:modified>
</cp:coreProperties>
</file>